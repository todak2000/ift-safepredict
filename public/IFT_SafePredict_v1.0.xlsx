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PUT" state="visible" r:id="rId4"/>
    <sheet sheetId="2" name="MARS_ENGINE" state="hidden" r:id="rId5"/>
    <sheet sheetId="3" name="SCALERS" state="hidden" r:id="rId6"/>
    <sheet sheetId="4" name="INSTRUCTIONS" state="visible" r:id="rId7"/>
  </sheets>
  <definedNames>
    <definedName name="Scaler_sub_Pr_Min">SCALERS!$B$2</definedName>
    <definedName name="Scaler_sub_Pr_Max">SCALERS!$C$2</definedName>
    <definedName name="Scaler_sup_Pr_Min">SCALERS!$D$2</definedName>
    <definedName name="Scaler_sup_Pr_Max">SCALERS!$E$2</definedName>
    <definedName name="Scaler_sub_Tr_Min">SCALERS!$B$3</definedName>
    <definedName name="Scaler_sub_Tr_Max">SCALERS!$C$3</definedName>
    <definedName name="Scaler_sup_Tr_Min">SCALERS!$D$3</definedName>
    <definedName name="Scaler_sup_Tr_Max">SCALERS!$E$3</definedName>
    <definedName name="Scaler_sub_MCM_Min">SCALERS!$B$4</definedName>
    <definedName name="Scaler_sub_MCM_Max">SCALERS!$C$4</definedName>
    <definedName name="Scaler_sup_MCM_Min">SCALERS!$D$4</definedName>
    <definedName name="Scaler_sup_MCM_Max">SCALERS!$E$4</definedName>
    <definedName name="Scaler_sub_BCM_Min">SCALERS!$B$5</definedName>
    <definedName name="Scaler_sub_BCM_Max">SCALERS!$C$5</definedName>
    <definedName name="Scaler_sup_BCM_Min">SCALERS!$D$5</definedName>
    <definedName name="Scaler_sup_BCM_Max">SCALERS!$E$5</definedName>
    <definedName name="Scaler_sub_x_CH4_Min">SCALERS!$B$6</definedName>
    <definedName name="Scaler_sub_x_CH4_Max">SCALERS!$C$6</definedName>
    <definedName name="Scaler_sup_x_CH4_Min">SCALERS!$D$6</definedName>
    <definedName name="Scaler_sup_x_CH4_Max">SCALERS!$E$6</definedName>
    <definedName name="Scaler_sub_x_N2_Min">SCALERS!$B$7</definedName>
    <definedName name="Scaler_sub_x_N2_Max">SCALERS!$C$7</definedName>
    <definedName name="Scaler_sup_x_N2_Min">SCALERS!$D$7</definedName>
    <definedName name="Scaler_sup_x_N2_Max">SCALERS!$E$7</definedName>
    <definedName name="Scaler_sub_drho_sq_Min">SCALERS!$B$8</definedName>
    <definedName name="Scaler_sub_drho_sq_Max">SCALERS!$C$8</definedName>
    <definedName name="Scaler_sup_drho_sq_Min">SCALERS!$D$8</definedName>
    <definedName name="Scaler_sup_drho_sq_Max">SCALERS!$E$8</definedName>
    <definedName name="Pc_mix">'MARS_ENGINE'!$B$2</definedName>
    <definedName name="Tc_mix">'MARS_ENGINE'!$B$3</definedName>
    <definedName name="ME_Pr">'MARS_ENGINE'!$B$4</definedName>
    <definedName name="ME_Tr">'MARS_ENGINE'!$B$5</definedName>
    <definedName name="ME_drho_sq">'MARS_ENGINE'!$B$6</definedName>
    <definedName name="ME_BCM_bin">'MARS_ENGINE'!$B$7</definedName>
    <definedName name="ME_CH4_bin">'MARS_ENGINE'!$B$8</definedName>
    <definedName name="ME_N2_bin">'MARS_ENGINE'!$B$9</definedName>
    <definedName name="SC_Pr">'MARS_ENGINE'!$B$11</definedName>
    <definedName name="SC_Tr">'MARS_ENGINE'!$B$12</definedName>
    <definedName name="SC_MCM">'MARS_ENGINE'!$B$13</definedName>
    <definedName name="SC_BCM">'MARS_ENGINE'!$B$14</definedName>
    <definedName name="SC_x_CH4">'MARS_ENGINE'!$B$15</definedName>
    <definedName name="SC_x_N2">'MARS_ENGINE'!$B$16</definedName>
    <definedName name="SC_drho_sq">'MARS_ENGINE'!$B$17</definedName>
    <definedName name="Sub_IFT">'MARS_ENGINE'!$B$34</definedName>
    <definedName name="Sup_IFT">'MARS_ENGINE'!$B$70</definedName>
  </definedNames>
  <calcPr calcId="171027"/>
</workbook>
</file>

<file path=xl/sharedStrings.xml><?xml version="1.0" encoding="utf-8"?>
<sst xmlns="http://schemas.openxmlformats.org/spreadsheetml/2006/main" count="260" uniqueCount="238">
  <si>
    <t>IFT-SafePredict v1.0 — CO₂-Brine IFT Predictor</t>
  </si>
  <si>
    <t>Sub-MARS-16t | Sup-MARS-35t | Conformal UQ (80% CI)</t>
  </si>
  <si>
    <t>USER INPUTS</t>
  </si>
  <si>
    <t>Value</t>
  </si>
  <si>
    <t>Unit</t>
  </si>
  <si>
    <t>Notes</t>
  </si>
  <si>
    <t>Pressure (P)</t>
  </si>
  <si>
    <t>MPa</t>
  </si>
  <si>
    <t>Range: 0.1–60 MPa</t>
  </si>
  <si>
    <t>Temperature (T)</t>
  </si>
  <si>
    <t>K</t>
  </si>
  <si>
    <t>Kelvin; Range: 273–473 K</t>
  </si>
  <si>
    <t>Density difference (Δρ)</t>
  </si>
  <si>
    <t>g/cm³</t>
  </si>
  <si>
    <t>ρ_brine − ρ_CO₂; see INSTRUCTIONS §3 for EOS guidance</t>
  </si>
  <si>
    <t>Monovalent Cation Molality (MCM)</t>
  </si>
  <si>
    <t>mol/kg</t>
  </si>
  <si>
    <t>NaCl, NaCl+KCl → MCM = total Na⁺+K⁺ molality</t>
  </si>
  <si>
    <t>Bivalent Cation Molality (BCM)</t>
  </si>
  <si>
    <t>CaCl₂, MgCl₂ → BCM = divalent molality</t>
  </si>
  <si>
    <t>CH₄ mole fraction (x_CH₄)</t>
  </si>
  <si>
    <t>mol/mol</t>
  </si>
  <si>
    <t>Set 0 for pure CO₂</t>
  </si>
  <si>
    <t>N₂ mole fraction (x_N₂)</t>
  </si>
  <si>
    <t>Brine type</t>
  </si>
  <si>
    <t>NaCl</t>
  </si>
  <si>
    <t>—</t>
  </si>
  <si>
    <t>NaCl | CaCl2 | MgCl2 | Na2SO4 | NaCl+CaCl2 | NaCl+KCl | Water</t>
  </si>
  <si>
    <t>DERIVED (internal — do not edit)</t>
  </si>
  <si>
    <t>Pc_mix (MPa)</t>
  </si>
  <si>
    <t>=B7*4.600+B8*3.390+(1-B7-B8)*7.377</t>
  </si>
  <si>
    <t/>
  </si>
  <si>
    <t>Kay's mixing rule</t>
  </si>
  <si>
    <t>Tc_mix (K)</t>
  </si>
  <si>
    <t>=B7*190.56+B8*126.19+(1-B7-B8)*304.28</t>
  </si>
  <si>
    <t>Pr</t>
  </si>
  <si>
    <t>=B2/B15</t>
  </si>
  <si>
    <t>= P / Pc_mix</t>
  </si>
  <si>
    <t>Tr</t>
  </si>
  <si>
    <t>=B3/B16</t>
  </si>
  <si>
    <t>= T / Tc_mix</t>
  </si>
  <si>
    <t>Δρ² (drho_sq)</t>
  </si>
  <si>
    <t>=B4^2</t>
  </si>
  <si>
    <t>Squared density difference</t>
  </si>
  <si>
    <t>Regime (auto)</t>
  </si>
  <si>
    <t>=IF(AND(B17&gt;=1,B18&gt;=1),"Supercritical","Subcritical")</t>
  </si>
  <si>
    <t>Auto-detected — do not edit</t>
  </si>
  <si>
    <t>RESULTS</t>
  </si>
  <si>
    <t>IFT P50 (mN/m)</t>
  </si>
  <si>
    <t>=IF(B20="Supercritical",Sup_IFT,Sub_IFT)</t>
  </si>
  <si>
    <t>mN/m</t>
  </si>
  <si>
    <t>Median prediction</t>
  </si>
  <si>
    <t>UIF Factor</t>
  </si>
  <si>
    <t>=IF(OR(AND(B20="Subcritical",OR(B17&lt;0.04,B17&gt;0.999)),AND(B20="Supercritical",OR(B17&lt;1.011,B17&gt;4.457))),5.0,IF(OR(B12="Na2SO4",B5&gt;2.5),3.41,1.0))</t>
  </si>
  <si>
    <t>Uncertainty Inflation Factor</t>
  </si>
  <si>
    <t>IFT P10 — 80% CI lower (mN/m)</t>
  </si>
  <si>
    <t>=MAX(12.4,B23-(IF(B20="Subcritical",2.6928,2.25))*B24)</t>
  </si>
  <si>
    <t>80% conformal lower bound</t>
  </si>
  <si>
    <t>IFT P90 — 80% CI upper (mN/m)</t>
  </si>
  <si>
    <t>=MIN(78.88,B23+(IF(B20="Subcritical",2.6928,2.25))*B24)</t>
  </si>
  <si>
    <t>80% conformal upper bound</t>
  </si>
  <si>
    <t>QA Status</t>
  </si>
  <si>
    <t>=IF(B24&gt;=5,"RED ⚠ Extrapolation",IF(B24&gt;1,"YELLOW ⚠ High Variation","GREEN ✓ Standard"))</t>
  </si>
  <si>
    <t>GREEN / YELLOW / RED</t>
  </si>
  <si>
    <t>Model Version</t>
  </si>
  <si>
    <t>IFT-SafePredict v1.0 | Sub-MARS-16t | Sup-MARS-35t</t>
  </si>
  <si>
    <t>§1 — Internal Derivations (from INPUT sheet)</t>
  </si>
  <si>
    <t>=INPUT!B7*4.6 + INPUT!B8*3.39 + (1-INPUT!B7-INPUT!B8)*7.377</t>
  </si>
  <si>
    <t>=INPUT!B7*190.56 + INPUT!B8*126.19 + (1-INPUT!B7-INPUT!B8)*304.28</t>
  </si>
  <si>
    <t>=INPUT!B2/MARS_ENGINE!B3</t>
  </si>
  <si>
    <t>=INPUT!B3/MARS_ENGINE!B4</t>
  </si>
  <si>
    <t>drho_sq</t>
  </si>
  <si>
    <t>=INPUT!B4^2</t>
  </si>
  <si>
    <t>BCM_bin</t>
  </si>
  <si>
    <t>=IF(INPUT!B6&gt;0,1,0)</t>
  </si>
  <si>
    <t>CH4_bin</t>
  </si>
  <si>
    <t>=IF(INPUT!B7&gt;0,1,0)</t>
  </si>
  <si>
    <t>N2_bin</t>
  </si>
  <si>
    <t>=IF(INPUT!B8&gt;0,1,0)</t>
  </si>
  <si>
    <t>§2 — MinMax Scaled Features</t>
  </si>
  <si>
    <t>Scaled_Pr</t>
  </si>
  <si>
    <t>=IF(INPUT!B11="Supercritical",2*(ME_Pr-Scaler_sup_Pr_Min)/(Scaler_sup_Pr_Max-Scaler_sup_Pr_Min)-1,2*(ME_Pr-Scaler_sub_Pr_Min)/(Scaler_sub_Pr_Max-Scaler_sub_Pr_Min)-1)</t>
  </si>
  <si>
    <t>Scaled_Tr</t>
  </si>
  <si>
    <t>=IF(INPUT!B11="Supercritical",2*(ME_Tr-Scaler_sup_Tr_Min)/(Scaler_sup_Tr_Max-Scaler_sup_Tr_Min)-1,2*(ME_Tr-Scaler_sub_Tr_Min)/(Scaler_sub_Tr_Max-Scaler_sub_Tr_Min)-1)</t>
  </si>
  <si>
    <t>Scaled_MCM</t>
  </si>
  <si>
    <t>=IF(INPUT!B11="Supercritical",2*(INPUT!B5-Scaler_sup_MCM_Min)/(Scaler_sup_MCM_Max-Scaler_sup_MCM_Min)-1,2*(INPUT!B5-Scaler_sub_MCM_Min)/(Scaler_sub_MCM_Max-Scaler_sub_MCM_Min)-1)</t>
  </si>
  <si>
    <t>Scaled_BCM</t>
  </si>
  <si>
    <t>=IF(INPUT!B11="Supercritical",2*(INPUT!B6-Scaler_sup_BCM_Min)/(Scaler_sup_BCM_Max-Scaler_sup_BCM_Min)-1,2*(INPUT!B6-Scaler_sub_BCM_Min)/(Scaler_sub_BCM_Max-Scaler_sub_BCM_Min)-1)</t>
  </si>
  <si>
    <t>Scaled_x_CH4</t>
  </si>
  <si>
    <t>=IF(INPUT!B11="Supercritical",2*(INPUT!B7-Scaler_sup_x_CH4_Min)/(Scaler_sup_x_CH4_Max-Scaler_sup_x_CH4_Min)-1,2*(INPUT!B7-Scaler_sub_x_CH4_Min)/(Scaler_sub_x_CH4_Max-Scaler_sub_x_CH4_Min)-1)</t>
  </si>
  <si>
    <t>Scaled_x_N2</t>
  </si>
  <si>
    <t>=IF(INPUT!B11="Supercritical",2*(INPUT!B8-Scaler_sup_x_N2_Min)/(Scaler_sup_x_N2_Max-Scaler_sup_x_N2_Min)-1,2*(INPUT!B8-Scaler_sub_x_N2_Min)/(Scaler_sub_x_N2_Max-Scaler_sub_x_N2_Min)-1)</t>
  </si>
  <si>
    <t>Scaled_drho_sq</t>
  </si>
  <si>
    <t>=IF(INPUT!B11="Supercritical",2*(ME_drho_sq-Scaler_sup_drho_sq_Min)/(Scaler_sup_drho_sq_Max-Scaler_sup_drho_sq_Min)-1,2*(ME_drho_sq-Scaler_sub_drho_sq_Min)/(Scaler_sub_drho_sq_Max-Scaler_sub_drho_sq_Min)-1)</t>
  </si>
  <si>
    <t>§3 — Subcritical MARS (16-term) — used when regime = Subcritical</t>
  </si>
  <si>
    <t>Sub term 1 (×+17.9632)</t>
  </si>
  <si>
    <t>=+17.9632*(MAX(0,SC_drho_sq-(0.0282)))</t>
  </si>
  <si>
    <t>Sub term 2 (×+275.2586)</t>
  </si>
  <si>
    <t>=+275.2586*(MAX(0,(0.0282)-SC_drho_sq))</t>
  </si>
  <si>
    <t>Sub term 3 (×+26.5844)</t>
  </si>
  <si>
    <t>=+26.5844*(MAX(0,SC_Pr-(-0.7198)))</t>
  </si>
  <si>
    <t>Sub term 4 (×+26.138)</t>
  </si>
  <si>
    <t>=+26.138*(MAX(0,(-0.7198)-SC_Pr))</t>
  </si>
  <si>
    <t>Sub term 5 (×-20.2105)</t>
  </si>
  <si>
    <t>=-20.2105*(MAX(0,SC_Tr-(-0.3956)))</t>
  </si>
  <si>
    <t>Sub term 6 (×+12.776)</t>
  </si>
  <si>
    <t>=+12.776*(MAX(0,(-0.3956)-SC_Tr))</t>
  </si>
  <si>
    <t>Sub term 7 (×-51.1174)</t>
  </si>
  <si>
    <t>=-51.1174*(MAX(0,(-0.7198)-SC_Pr)*MAX(0,SC_Tr-(-0.518)))</t>
  </si>
  <si>
    <t>Sub term 8 (×+137.8465)</t>
  </si>
  <si>
    <t>=+137.8465*(MAX(0,(-0.7198)-SC_Pr)*MAX(0,(-0.518)-SC_Tr))</t>
  </si>
  <si>
    <t>Sub term 9 (×-55.2389)</t>
  </si>
  <si>
    <t>=-55.2389*(MAX(0,SC_Pr-(-0.7198))*MAX(0,SC_drho_sq-(-0.7039)))</t>
  </si>
  <si>
    <t>Sub term 10 (×-97.8475)</t>
  </si>
  <si>
    <t>=-97.8475*(MAX(0,SC_Pr-(-0.7198))*MAX(0,(-0.7039)-SC_drho_sq))</t>
  </si>
  <si>
    <t>Sub term 11 (×+66.6219)</t>
  </si>
  <si>
    <t>=+66.6219*(MAX(0,SC_Tr-(-0.516))*MAX(0,SC_drho_sq-(0.0282)))</t>
  </si>
  <si>
    <t>Sub term 12 (×+283.6242)</t>
  </si>
  <si>
    <t>=+283.6242*(MAX(0,(0.0282)-SC_drho_sq)*(2*ME_CH4_bin-1))</t>
  </si>
  <si>
    <t>Sub term 13 (×-499.8016)</t>
  </si>
  <si>
    <t>=-499.8016*(MAX(0,SC_Tr-(-0.8978))*MAX(0,(0.0282)-SC_drho_sq))</t>
  </si>
  <si>
    <t>Sub term 14 (×-45.0736)</t>
  </si>
  <si>
    <t>=-45.0736*(MAX(0,(-0.8978)-SC_Tr)*MAX(0,(0.0282)-SC_drho_sq))</t>
  </si>
  <si>
    <t>Sub term 15 (×+38.3241)</t>
  </si>
  <si>
    <t>=+38.3241*(MAX(0,(-0.3956)-SC_Tr)*SC_x_CH4)</t>
  </si>
  <si>
    <t>Sub IFT (mN/m)</t>
  </si>
  <si>
    <t>=51.6236+MARS_ENGINE!B19+MARS_ENGINE!B20+MARS_ENGINE!B21+MARS_ENGINE!B22+MARS_ENGINE!B23+MARS_ENGINE!B24+MARS_ENGINE!B25+MARS_ENGINE!B26+MARS_ENGINE!B27+MARS_ENGINE!B28+MARS_ENGINE!B29+MARS_ENGINE!B30+MARS_ENGINE!B31+MARS_ENGINE!B32+MARS_ENGINE!B33</t>
  </si>
  <si>
    <t>§4 — Supercritical MARS (35-term) — used when regime = Supercritical</t>
  </si>
  <si>
    <t>Sup term 1 (×-59.8927)</t>
  </si>
  <si>
    <t>=-59.8927*(MAX(0,(0.4517)-SC_drho_sq))</t>
  </si>
  <si>
    <t>Sup term 2 (×+84.6131)</t>
  </si>
  <si>
    <t>=+84.6131*(MAX(0,SC_x_N2-(0.9652)))</t>
  </si>
  <si>
    <t>Sup term 3 (×-32.995)</t>
  </si>
  <si>
    <t>=-32.995*(MAX(0,(0.9652)-SC_x_N2))</t>
  </si>
  <si>
    <t>Sup term 4 (×-64.0876)</t>
  </si>
  <si>
    <t>=-64.0876*(MAX(0,(0.7966)-SC_x_CH4))</t>
  </si>
  <si>
    <t>Sup term 5 (×+3.4684)</t>
  </si>
  <si>
    <t>=+3.4684*(MAX(0,SC_BCM-(-0.64))*MAX(0,(0.4517)-SC_drho_sq))</t>
  </si>
  <si>
    <t>Sup term 6 (×-8.4184)</t>
  </si>
  <si>
    <t>=-8.4184*(MAX(0,(-0.64)-SC_BCM)*MAX(0,(0.4517)-SC_drho_sq))</t>
  </si>
  <si>
    <t>Sup term 7 (×-1959.2987)</t>
  </si>
  <si>
    <t>=-1959.2987*(MAX(0,SC_Tr-(-0.5087))*MAX(0,(0.4517)-SC_drho_sq))</t>
  </si>
  <si>
    <t>Sup term 8 (×+34.4304)</t>
  </si>
  <si>
    <t>=+34.4304*(MAX(0,(-0.5087)-SC_Tr)*MAX(0,(0.4517)-SC_drho_sq))</t>
  </si>
  <si>
    <t>Sup term 9 (×+3.1914)</t>
  </si>
  <si>
    <t>=+3.1914*(MAX(0,SC_MCM-(-0.802))*MAX(0,(0.4517)-SC_drho_sq))</t>
  </si>
  <si>
    <t>Sup term 10 (×-8.6816)</t>
  </si>
  <si>
    <t>=-8.6816*(MAX(0,(-0.802)-SC_MCM)*MAX(0,(0.4517)-SC_drho_sq))</t>
  </si>
  <si>
    <t>Sup term 11 (×+4.235)</t>
  </si>
  <si>
    <t>=+4.235*(MAX(0,SC_Tr-(-0.7733))*MAX(0,(0.9652)-SC_x_N2))</t>
  </si>
  <si>
    <t>Sup term 12 (×-29.5554)</t>
  </si>
  <si>
    <t>=-29.5554*(MAX(0,(-0.7733)-SC_Tr)*MAX(0,(0.9652)-SC_x_N2))</t>
  </si>
  <si>
    <t>Sup term 13 (×+31.1754)</t>
  </si>
  <si>
    <t>=+31.1754*(MAX(0,SC_Tr-(-0.7165))*MAX(0,(0.4517)-SC_drho_sq))</t>
  </si>
  <si>
    <t>Sup term 14 (×+1733.7711)</t>
  </si>
  <si>
    <t>=+1733.7711*(MAX(0,SC_Tr-(-0.499))*MAX(0,(0.4517)-SC_drho_sq))</t>
  </si>
  <si>
    <t>Sup term 15 (×+302.2371)</t>
  </si>
  <si>
    <t>=+302.2371*(MAX(0,SC_Tr-(-0.5359))*MAX(0,(0.4517)-SC_drho_sq))</t>
  </si>
  <si>
    <t>Sup term 16 (×+28.3565)</t>
  </si>
  <si>
    <t>=+28.3565*(MAX(0,(-0.9628)-SC_Pr)*MAX(0,(0.7966)-SC_x_CH4))</t>
  </si>
  <si>
    <t>Sup term 17 (×-136.4932)</t>
  </si>
  <si>
    <t>=-136.4932*(MAX(0,SC_Tr-(-0.437))*MAX(0,(0.4517)-SC_drho_sq))</t>
  </si>
  <si>
    <t>Sup term 18 (×-133.9788)</t>
  </si>
  <si>
    <t>=-133.9788*(MAX(0,(0.7966)-SC_x_CH4)*MAX(0,SC_x_N2-(-0.3434)))</t>
  </si>
  <si>
    <t>Sup term 19 (×+126.0387)</t>
  </si>
  <si>
    <t>=+126.0387*(MAX(0,(0.7966)-SC_x_CH4)*MAX(0,SC_x_N2-(-0.3675)))</t>
  </si>
  <si>
    <t>Sup term 20 (×+8.6252)</t>
  </si>
  <si>
    <t>=+8.6252*(SC_BCM*MAX(0,SC_drho_sq-(0.4517)))</t>
  </si>
  <si>
    <t>Sup term 21 (×-13.5765)</t>
  </si>
  <si>
    <t>=-13.5765*(MAX(0,SC_Pr-(-0.8438))*MAX(0,(0.9652)-SC_x_N2))</t>
  </si>
  <si>
    <t>Sup term 22 (×+21.9898)</t>
  </si>
  <si>
    <t>=+21.9898*(MAX(0,(-0.8438)-SC_Pr)*MAX(0,(0.9652)-SC_x_N2))</t>
  </si>
  <si>
    <t>Sup term 23 (×-20.8103)</t>
  </si>
  <si>
    <t>=-20.8103*(MAX(0,SC_x_N2-(0.2907))*MAX(0,(0.4517)-SC_drho_sq))</t>
  </si>
  <si>
    <t>Sup term 24 (×+24.6178)</t>
  </si>
  <si>
    <t>=+24.6178*(MAX(0,(0.2907)-SC_x_N2)*MAX(0,(0.4517)-SC_drho_sq))</t>
  </si>
  <si>
    <t>Sup term 25 (×+24.9711)</t>
  </si>
  <si>
    <t>=+24.9711*(MAX(0,SC_Pr-(-0.7159)))</t>
  </si>
  <si>
    <t>Sup term 26 (×-19.7154)</t>
  </si>
  <si>
    <t>=-19.7154*(MAX(0,(-0.7159)-SC_Pr))</t>
  </si>
  <si>
    <t>Sup term 27 (×+2.3966)</t>
  </si>
  <si>
    <t>=+2.3966*(MAX(0,SC_BCM-(-0.982))*MAX(0,(0.9652)-SC_x_N2))</t>
  </si>
  <si>
    <t>Sup term 28 (×+68.834)</t>
  </si>
  <si>
    <t>=+68.834*(MAX(0,(-0.982)-SC_BCM)*MAX(0,(0.9652)-SC_x_N2))</t>
  </si>
  <si>
    <t>Sup term 29 (×+3.7786)</t>
  </si>
  <si>
    <t>=+3.7786*(MAX(0,SC_Tr-(-0.3379))*MAX(0,(0.7966)-SC_x_CH4))</t>
  </si>
  <si>
    <t>Sup term 30 (×+5.372)</t>
  </si>
  <si>
    <t>=+5.372*(MAX(0,(-0.3379)-SC_Tr)*MAX(0,(0.7966)-SC_x_CH4))</t>
  </si>
  <si>
    <t>Sup term 31 (×-31.8591)</t>
  </si>
  <si>
    <t>=-31.8591*(MAX(0,SC_x_CH4-(-0.7551))*MAX(0,(0.9652)-SC_x_N2))</t>
  </si>
  <si>
    <t>Sup term 32 (×+11.3604)</t>
  </si>
  <si>
    <t>=+11.3604*(MAX(0,SC_x_CH4-(-0.5506))*MAX(0,(0.4517)-SC_drho_sq))</t>
  </si>
  <si>
    <t>Sup term 33 (×+25.7311)</t>
  </si>
  <si>
    <t>=+25.7311*(MAX(0,(-0.5506)-SC_x_CH4)*MAX(0,(0.4517)-SC_drho_sq))</t>
  </si>
  <si>
    <t>Sup term 34 (×-133.2863)</t>
  </si>
  <si>
    <t>=-133.2863*(MAX(0,(-0.7159)-SC_Pr)*MAX(0,(-0.9192)-SC_Tr))</t>
  </si>
  <si>
    <t>Sup IFT (mN/m)</t>
  </si>
  <si>
    <t>=221.1467+MARS_ENGINE!B36+MARS_ENGINE!B37+MARS_ENGINE!B38+MARS_ENGINE!B39+MARS_ENGINE!B40+MARS_ENGINE!B41+MARS_ENGINE!B42+MARS_ENGINE!B43+MARS_ENGINE!B44+MARS_ENGINE!B45+MARS_ENGINE!B46+MARS_ENGINE!B47+MARS_ENGINE!B48+MARS_ENGINE!B49+MARS_ENGINE!B50+MARS_ENGINE!B51+MARS_ENGINE!B52+MARS_ENGINE!B53+MARS_ENGINE!B54+MARS_ENGINE!B55+MARS_ENGINE!B56+MARS_ENGINE!B57+MARS_ENGINE!B58+MARS_ENGINE!B59+MARS_ENGINE!B60+MARS_ENGINE!B61+MARS_ENGINE!B62+MARS_ENGINE!B63+MARS_ENGINE!B64+MARS_ENGINE!B65+MARS_ENGINE!B66+MARS_ENGINE!B67+MARS_ENGINE!B68+MARS_ENGINE!B69</t>
  </si>
  <si>
    <t>Feature</t>
  </si>
  <si>
    <t>Sub Min</t>
  </si>
  <si>
    <t>Sub Max</t>
  </si>
  <si>
    <t>Sup Min</t>
  </si>
  <si>
    <t>Sup Max</t>
  </si>
  <si>
    <t>MCM</t>
  </si>
  <si>
    <t>BCM</t>
  </si>
  <si>
    <t>x_CH4</t>
  </si>
  <si>
    <t>x_N2</t>
  </si>
  <si>
    <t>IFT-SafePredict v1.0 — Instructions &amp; Model Reference</t>
  </si>
  <si>
    <t>§1  How to use this tool</t>
  </si>
  <si>
    <t>1. Go to the INPUT sheet.</t>
  </si>
  <si>
    <t>2. Enter your physical inputs in the BLUE cells (B2:B8) and select a Brine type from the dropdown (B9).</t>
  </si>
  <si>
    <t>3. The RESULTS section updates automatically — no macros required.</t>
  </si>
  <si>
    <t>4. Always report the full P10–P90 interval alongside the P50. Never cite a single number without uncertainty.</t>
  </si>
  <si>
    <t>§2  Input parameter guide</t>
  </si>
  <si>
    <t>P (MPa)   : Reservoir or experimental pressure. Range: 0.1–60 MPa.</t>
  </si>
  <si>
    <t>T (K)     : Temperature in Kelvin. Range: 273–473 K.</t>
  </si>
  <si>
    <t>Δρ (g/cm³): Density difference ρ_brine − ρ_CO₂. Obtain from EOS software (e.g. NIST REFPROP) or the web tool EOS assist.</t>
  </si>
  <si>
    <t>MCM       : Monovalent cation molality. For NaCl: molality of NaCl. For NaCl+KCl: sum Na⁺ + K⁺ molality.</t>
  </si>
  <si>
    <t>BCM       : Bivalent cation molality. For CaCl₂: Ca²⁺ molality. For MgCl₂: Mg²⁺ molality.</t>
  </si>
  <si>
    <t>x_CH₄    : CH₄ mole fraction in the CO₂-rich phase. Set 0 for pure CO₂.</t>
  </si>
  <si>
    <t>x_N₂     : N₂ mole fraction. Set 0 for pure CO₂.</t>
  </si>
  <si>
    <t>Brine type: Select from dropdown. Sets internal binary flags (BCM_bin, CH4_bin, N2_bin) automatically.</t>
  </si>
  <si>
    <t>§3  QA Status interpretation</t>
  </si>
  <si>
    <t>GREEN ✓   : Input within validated training domain. Standard uncertainty (UIF=1.0).</t>
  </si>
  <si>
    <t>YELLOW ⚠  : Na₂SO₄ brine or MCM &gt; 2.5 mol/kg. Li et al. (2012) apparatus offset (+13.51%). UIF=3.41.</t>
  </si>
  <si>
    <t>RED ⚠     : One or more inputs outside training domain bounds. Extrapolation. UIF=5.0. Use with caution.</t>
  </si>
  <si>
    <t>§4  Model training summary</t>
  </si>
  <si>
    <t>Dataset    : 3,265 CO₂-Brine IFT measurements (1,400 subcritical + 1,865 supercritical), 16 laboratories.</t>
  </si>
  <si>
    <t>Subcritical: MARS 16-term (compliance-fixed). Test nRMSE=5.95%, R²=0.939. Features: Pr, Tr, Δρ², x_CH₄, CH4_bin.</t>
  </si>
  <si>
    <t>Supercritical: MARS 35-term. Test nRMSE=5.60%, R²=0.928. Features: all 10 (Pr,Tr,MCM,BCM,x_CH₄,x_N₂,Δρ²,BCM_bin,CH4_bin,N2_bin).</t>
  </si>
  <si>
    <t>UQ: 80% conformal prediction intervals. Base half-width ±2.6928 mN/m (sub), ±2.25 mN/m (sup).</t>
  </si>
  <si>
    <t>P10/P90 clamped at physical limits: floor 12.4 mN/m, cap 78.88 mN/m.</t>
  </si>
  <si>
    <t>§5  Citation</t>
  </si>
  <si>
    <t>Olagunju, D. et al. (2026). Closed-Form MARS Equations with Calibrated Conformal Uncertainty for</t>
  </si>
  <si>
    <t>CO₂-Brine Interfacial Tension Prediction in Geological Carbon Storage.</t>
  </si>
  <si>
    <t>§6  Disclaimer</t>
  </si>
  <si>
    <t>This tool is provided for research and engineering screening purposes only. Predictions carry inherent</t>
  </si>
  <si>
    <t>uncertainty — always use the P10–P90 interval. Not a substitute for laboratory measurement in critical decisions.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</si>
</sst>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4"/>
      <name val="Calibri"/>
    </font>
    <font>
      <color rgb="FFFFFFFF"/>
      <sz val="9"/>
      <name val="Calibri"/>
    </font>
    <font>
      <b/>
      <color rgb="FFFFFFFF"/>
      <sz val="10"/>
      <name val="Calibri"/>
    </font>
    <font>
      <b/>
      <color rgb="FF2563EB"/>
      <sz val="10"/>
      <name val="Calibri"/>
    </font>
    <font>
      <color rgb="FF64748B"/>
      <sz val="9"/>
      <name val="Calibri"/>
    </font>
    <font>
      <b/>
      <color rgb="FF000000"/>
      <sz val="10"/>
      <name val="Calibri"/>
    </font>
    <font>
      <b/>
      <color rgb="FF1E3A5F"/>
      <sz val="12"/>
      <name val="Calibri"/>
    </font>
    <font>
      <color rgb="FF1E293B"/>
      <sz val="9"/>
      <name val="Calibri"/>
    </font>
    <font>
      <color rgb="FF000000"/>
      <sz val="9"/>
      <name val="Calibri"/>
    </font>
    <font>
      <b/>
      <color rgb="FF1E3A5F"/>
      <sz val="10"/>
      <name val="Calibri"/>
    </font>
    <font>
      <b/>
      <color rgb="FF1E3A5F"/>
      <sz val="14"/>
      <name val="Calibri"/>
    </font>
    <font>
      <b/>
      <color rgb="FF1E3A5F"/>
      <sz val="11"/>
      <name val="Calibri"/>
    </font>
    <font>
      <color rgb="FF000000"/>
      <sz val="1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2563EB"/>
      </patternFill>
    </fill>
    <fill>
      <patternFill patternType="solid">
        <fgColor rgb="FF1E293B"/>
      </patternFill>
    </fill>
    <fill>
      <patternFill patternType="solid">
        <fgColor rgb="FFF1F5F9"/>
      </patternFill>
    </fill>
    <fill>
      <patternFill patternType="solid">
        <fgColor rgb="FF475569"/>
      </patternFill>
    </fill>
    <fill>
      <patternFill patternType="solid">
        <fgColor rgb="FFDBEAF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5" borderId="1" xfId="0" applyFill="1" applyBorder="1" applyAlignment="1">
      <alignment horizontal="left" vertical="center"/>
    </xf>
    <xf numFmtId="0" fontId="4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0" fillId="0" borderId="1" xfId="0" applyBorder="1"/>
    <xf numFmtId="0" fontId="3" fillId="6" borderId="0" xfId="0" applyFont="1" applyFill="1"/>
    <xf numFmtId="0" fontId="0" fillId="5" borderId="1" xfId="0" applyFill="1" applyBorder="1"/>
    <xf numFmtId="0" fontId="6" fillId="0" borderId="1" xfId="0" applyFont="1" applyBorder="1"/>
    <xf numFmtId="0" fontId="3" fillId="2" borderId="0" xfId="0" applyFont="1" applyFill="1"/>
    <xf numFmtId="2" fontId="7" fillId="7" borderId="1" xfId="0" applyNumberFormat="1" applyFont="1" applyFill="1" applyBorder="1"/>
    <xf numFmtId="2" fontId="6" fillId="0" borderId="1" xfId="0" applyNumberFormat="1" applyFont="1" applyBorder="1"/>
    <xf numFmtId="2" fontId="0" fillId="5" borderId="1" xfId="0" applyNumberFormat="1" applyFill="1" applyBorder="1"/>
    <xf numFmtId="0" fontId="5" fillId="0" borderId="1" xfId="0" applyFont="1" applyBorder="1"/>
    <xf numFmtId="0" fontId="3" fillId="4" borderId="0" xfId="0" applyFont="1" applyFill="1" applyAlignment="1">
      <alignment horizontal="left" vertical="center"/>
    </xf>
    <xf numFmtId="0" fontId="8" fillId="0" borderId="0" xfId="0" applyFont="1"/>
    <xf numFmtId="0" fontId="9" fillId="0" borderId="0" xfId="0" applyFont="1"/>
    <xf numFmtId="0" fontId="10" fillId="7" borderId="0" xfId="0" applyFont="1" applyFill="1"/>
    <xf numFmtId="0" fontId="0" fillId="0" borderId="1" xfId="0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11" fillId="7" borderId="0" xfId="0" applyFont="1" applyFill="1" applyAlignment="1">
      <alignment horizontal="left" vertical="center"/>
    </xf>
    <xf numFmtId="0" fontId="12" fillId="5" borderId="0" xfId="0" applyFont="1" applyFill="1"/>
    <xf numFmtId="0" fontId="13" fillId="0" borderId="0" xfId="0" applyFont="1" applyAlignment="1">
      <alignment wrapText="1"/>
    </xf>
  </cellXfs>
  <cellStyles count="1">
    <cellStyle name="Normal" xfId="0" builtinId="0"/>
  </cellStyles>
  <dxfs count="5">
    <dxf>
      <font>
        <b/>
        <color rgb="FF2563EB"/>
        <sz val="10"/>
        <name val="Calibri"/>
      </font>
      <fill>
        <patternFill patternType="solid">
          <fgColor rgb="FFDBEAFE"/>
        </patternFill>
      </fill>
    </dxf>
    <dxf>
      <font>
        <b/>
        <color rgb="FF475569"/>
        <sz val="10"/>
        <name val="Calibri"/>
      </font>
      <fill>
        <patternFill patternType="solid">
          <fgColor rgb="FFF1F5F9"/>
        </patternFill>
      </fill>
    </dxf>
    <dxf>
      <font>
        <b/>
        <color rgb="FF15803D"/>
        <sz val="10"/>
        <name val="Calibri"/>
      </font>
      <fill>
        <patternFill patternType="solid">
          <fgColor rgb="FFDCFCE7"/>
        </patternFill>
      </fill>
    </dxf>
    <dxf>
      <font>
        <b/>
        <color rgb="FFA16207"/>
        <sz val="10"/>
        <name val="Calibri"/>
      </font>
      <fill>
        <patternFill patternType="solid">
          <fgColor rgb="FFFEF9C3"/>
        </patternFill>
      </fill>
    </dxf>
    <dxf>
      <font>
        <b/>
        <color rgb="FFB91C1C"/>
        <sz val="10"/>
        <name val="Calibri"/>
      </font>
      <fill>
        <patternFill patternType="solid">
          <fgColor rgb="FFFEE2E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563EB"/>
  </sheetPr>
  <dimension ref="A1:D28"/>
  <sheetViews>
    <sheetView workbookViewId="0">
      <pane ySplit="3" topLeftCell="A4" activePane="bottomLeft" state="frozen"/>
      <selection pane="bottomLeft" activeCell="B5" sqref="B5"/>
    </sheetView>
  </sheetViews>
  <sheetFormatPr defaultRowHeight="15" outlineLevelRow="0" outlineLevelCol="0" x14ac:dyDescent="55"/>
  <cols>
    <col min="1" max="1" width="30" customWidth="1"/>
    <col min="2" max="2" width="18" customWidth="1"/>
    <col min="3" max="3" width="14" customWidth="1"/>
    <col min="4" max="4" width="40" customWidth="1"/>
  </cols>
  <sheetData>
    <row r="1" ht="32" customHeight="1" spans="1:4" x14ac:dyDescent="0.25">
      <c r="A1" s="1" t="s">
        <v>0</v>
      </c>
      <c r="B1" s="1"/>
      <c r="C1" s="1"/>
      <c r="D1" s="1"/>
    </row>
    <row r="2" spans="1:4" x14ac:dyDescent="0.25">
      <c r="A2" s="2" t="s">
        <v>1</v>
      </c>
      <c r="B2" s="2"/>
      <c r="C2" s="2"/>
      <c r="D2" s="2"/>
    </row>
    <row r="4" spans="1:4" x14ac:dyDescent="0.25">
      <c r="A4" s="3" t="s">
        <v>2</v>
      </c>
      <c r="B4" s="4" t="s">
        <v>3</v>
      </c>
      <c r="C4" s="4" t="s">
        <v>4</v>
      </c>
      <c r="D4" s="4" t="s">
        <v>5</v>
      </c>
    </row>
    <row r="5" spans="1:4" x14ac:dyDescent="0.25">
      <c r="A5" s="5" t="s">
        <v>6</v>
      </c>
      <c r="B5" s="6">
        <v>10</v>
      </c>
      <c r="C5" s="7" t="s">
        <v>7</v>
      </c>
      <c r="D5" s="5" t="s">
        <v>8</v>
      </c>
    </row>
    <row r="6" spans="1:4" x14ac:dyDescent="0.25">
      <c r="A6" s="8" t="s">
        <v>9</v>
      </c>
      <c r="B6" s="9">
        <v>323.15</v>
      </c>
      <c r="C6" s="10" t="s">
        <v>10</v>
      </c>
      <c r="D6" s="8" t="s">
        <v>11</v>
      </c>
    </row>
    <row r="7" spans="1:4" x14ac:dyDescent="0.25">
      <c r="A7" s="5" t="s">
        <v>12</v>
      </c>
      <c r="B7" s="6">
        <v>0.65</v>
      </c>
      <c r="C7" s="7" t="s">
        <v>13</v>
      </c>
      <c r="D7" s="5" t="s">
        <v>14</v>
      </c>
    </row>
    <row r="8" spans="1:4" x14ac:dyDescent="0.25">
      <c r="A8" s="8" t="s">
        <v>15</v>
      </c>
      <c r="B8" s="9">
        <v>1</v>
      </c>
      <c r="C8" s="10" t="s">
        <v>16</v>
      </c>
      <c r="D8" s="8" t="s">
        <v>17</v>
      </c>
    </row>
    <row r="9" spans="1:4" x14ac:dyDescent="0.25">
      <c r="A9" s="5" t="s">
        <v>18</v>
      </c>
      <c r="B9" s="6">
        <v>0</v>
      </c>
      <c r="C9" s="7" t="s">
        <v>16</v>
      </c>
      <c r="D9" s="5" t="s">
        <v>19</v>
      </c>
    </row>
    <row r="10" spans="1:4" x14ac:dyDescent="0.25">
      <c r="A10" s="8" t="s">
        <v>20</v>
      </c>
      <c r="B10" s="9">
        <v>0</v>
      </c>
      <c r="C10" s="10" t="s">
        <v>21</v>
      </c>
      <c r="D10" s="8" t="s">
        <v>22</v>
      </c>
    </row>
    <row r="11" spans="1:4" x14ac:dyDescent="0.25">
      <c r="A11" s="5" t="s">
        <v>23</v>
      </c>
      <c r="B11" s="6">
        <v>0</v>
      </c>
      <c r="C11" s="7" t="s">
        <v>21</v>
      </c>
      <c r="D11" s="5" t="s">
        <v>22</v>
      </c>
    </row>
    <row r="12" spans="1:4" x14ac:dyDescent="0.25">
      <c r="A12" s="11" t="s">
        <v>24</v>
      </c>
      <c r="B12" s="6" t="s">
        <v>25</v>
      </c>
      <c r="C12" s="11" t="s">
        <v>26</v>
      </c>
      <c r="D12" s="11" t="s">
        <v>27</v>
      </c>
    </row>
    <row r="14" spans="1:4" x14ac:dyDescent="0.25">
      <c r="A14" s="12" t="s">
        <v>28</v>
      </c>
      <c r="B14" s="12"/>
      <c r="C14" s="12"/>
      <c r="D14" s="12"/>
    </row>
    <row r="15" spans="1:4" x14ac:dyDescent="0.25">
      <c r="A15" s="11" t="s">
        <v>29</v>
      </c>
      <c r="B15" s="13" t="s">
        <v>30</v>
      </c>
      <c r="C15" s="11" t="s">
        <v>31</v>
      </c>
      <c r="D15" s="11" t="s">
        <v>32</v>
      </c>
    </row>
    <row r="16" spans="1:4" x14ac:dyDescent="0.25">
      <c r="A16" s="11" t="s">
        <v>33</v>
      </c>
      <c r="B16" s="13" t="s">
        <v>34</v>
      </c>
      <c r="C16" s="11" t="s">
        <v>31</v>
      </c>
      <c r="D16" s="11" t="s">
        <v>32</v>
      </c>
    </row>
    <row r="17" spans="1:4" x14ac:dyDescent="0.25">
      <c r="A17" s="11" t="s">
        <v>35</v>
      </c>
      <c r="B17" s="13" t="s">
        <v>36</v>
      </c>
      <c r="C17" s="11" t="s">
        <v>31</v>
      </c>
      <c r="D17" s="11" t="s">
        <v>37</v>
      </c>
    </row>
    <row r="18" spans="1:4" x14ac:dyDescent="0.25">
      <c r="A18" s="11" t="s">
        <v>38</v>
      </c>
      <c r="B18" s="13" t="s">
        <v>39</v>
      </c>
      <c r="C18" s="11" t="s">
        <v>31</v>
      </c>
      <c r="D18" s="11" t="s">
        <v>40</v>
      </c>
    </row>
    <row r="19" spans="1:4" x14ac:dyDescent="0.25">
      <c r="A19" s="11" t="s">
        <v>41</v>
      </c>
      <c r="B19" s="13" t="s">
        <v>42</v>
      </c>
      <c r="C19" s="11" t="s">
        <v>31</v>
      </c>
      <c r="D19" s="11" t="s">
        <v>43</v>
      </c>
    </row>
    <row r="20" spans="1:4" x14ac:dyDescent="0.25">
      <c r="A20" s="11" t="s">
        <v>44</v>
      </c>
      <c r="B20" s="14" t="s">
        <v>45</v>
      </c>
      <c r="C20" s="11" t="s">
        <v>31</v>
      </c>
      <c r="D20" s="11" t="s">
        <v>46</v>
      </c>
    </row>
    <row r="22" spans="1:4" x14ac:dyDescent="0.25">
      <c r="A22" s="15" t="s">
        <v>47</v>
      </c>
      <c r="B22" s="15"/>
      <c r="C22" s="15"/>
      <c r="D22" s="15"/>
    </row>
    <row r="23" spans="1:4" x14ac:dyDescent="0.25">
      <c r="A23" s="14" t="s">
        <v>48</v>
      </c>
      <c r="B23" s="16" t="s">
        <v>49</v>
      </c>
      <c r="C23" s="11" t="s">
        <v>50</v>
      </c>
      <c r="D23" s="11" t="s">
        <v>51</v>
      </c>
    </row>
    <row r="24" spans="1:4" x14ac:dyDescent="0.25">
      <c r="A24" s="11" t="s">
        <v>52</v>
      </c>
      <c r="B24" s="17" t="s">
        <v>53</v>
      </c>
      <c r="C24" s="11" t="s">
        <v>31</v>
      </c>
      <c r="D24" s="11" t="s">
        <v>54</v>
      </c>
    </row>
    <row r="25" spans="1:4" x14ac:dyDescent="0.25">
      <c r="A25" s="11" t="s">
        <v>55</v>
      </c>
      <c r="B25" s="18" t="s">
        <v>56</v>
      </c>
      <c r="C25" s="11" t="s">
        <v>50</v>
      </c>
      <c r="D25" s="11" t="s">
        <v>57</v>
      </c>
    </row>
    <row r="26" spans="1:4" x14ac:dyDescent="0.25">
      <c r="A26" s="11" t="s">
        <v>58</v>
      </c>
      <c r="B26" s="18" t="s">
        <v>59</v>
      </c>
      <c r="C26" s="11" t="s">
        <v>50</v>
      </c>
      <c r="D26" s="11" t="s">
        <v>60</v>
      </c>
    </row>
    <row r="27" spans="1:4" x14ac:dyDescent="0.25">
      <c r="A27" s="11" t="s">
        <v>61</v>
      </c>
      <c r="B27" s="14" t="s">
        <v>62</v>
      </c>
      <c r="C27" s="11" t="s">
        <v>31</v>
      </c>
      <c r="D27" s="11" t="s">
        <v>63</v>
      </c>
    </row>
    <row r="28" spans="1:4" x14ac:dyDescent="0.25">
      <c r="A28" s="11" t="s">
        <v>64</v>
      </c>
      <c r="B28" s="19" t="s">
        <v>65</v>
      </c>
      <c r="C28" s="11" t="s">
        <v>31</v>
      </c>
      <c r="D28" s="11" t="s">
        <v>31</v>
      </c>
    </row>
  </sheetData>
  <mergeCells count="4">
    <mergeCell ref="A1:D1"/>
    <mergeCell ref="A2:D2"/>
    <mergeCell ref="A14:D14"/>
    <mergeCell ref="A22:D22"/>
  </mergeCells>
  <conditionalFormatting sqref="B20">
    <cfRule type="containsText" dxfId="0" priority="1">
      <formula>NOT(ISERROR(SEARCH("Supercritical",B20)))</formula>
    </cfRule>
    <cfRule type="containsText" dxfId="1" priority="2">
      <formula>NOT(ISERROR(SEARCH("Subcritical",B20)))</formula>
    </cfRule>
  </conditionalFormatting>
  <conditionalFormatting sqref="B27">
    <cfRule type="containsText" dxfId="2" priority="1">
      <formula>NOT(ISERROR(SEARCH("GREEN",B27)))</formula>
    </cfRule>
    <cfRule type="containsText" dxfId="3" priority="2">
      <formula>NOT(ISERROR(SEARCH("YELLOW",B27)))</formula>
    </cfRule>
    <cfRule type="containsText" dxfId="4" priority="3">
      <formula>NOT(ISERROR(SEARCH("RED",B27)))</formula>
    </cfRule>
  </conditionalFormatting>
  <dataValidations count="1">
    <dataValidation type="list" showErrorMessage="1" errorTitle="Invalid brine type" error="Select from the dropdown list." sqref="B12">
      <formula1>"NaCl,CaCl2,MgCl2,Na2SO4,NaCl+CaCl2,NaCl+KCl,Water"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75569"/>
  </sheetPr>
  <dimension ref="A1:B70"/>
  <sheetFormatPr defaultRowHeight="15" outlineLevelRow="0" outlineLevelCol="0" x14ac:dyDescent="55"/>
  <cols>
    <col min="1" max="1" width="28" customWidth="1"/>
    <col min="2" max="2" width="60" customWidth="1"/>
  </cols>
  <sheetData>
    <row r="1" spans="1:2" x14ac:dyDescent="0.25">
      <c r="A1" s="20" t="s">
        <v>66</v>
      </c>
      <c r="B1" s="20"/>
    </row>
    <row r="2" spans="1:2" x14ac:dyDescent="0.25">
      <c r="A2" t="s">
        <v>29</v>
      </c>
      <c r="B2" s="21" t="s">
        <v>67</v>
      </c>
    </row>
    <row r="3" spans="1:2" x14ac:dyDescent="0.25">
      <c r="A3" t="s">
        <v>33</v>
      </c>
      <c r="B3" s="21" t="s">
        <v>68</v>
      </c>
    </row>
    <row r="4" spans="1:2" x14ac:dyDescent="0.25">
      <c r="A4" t="s">
        <v>35</v>
      </c>
      <c r="B4" s="21" t="s">
        <v>69</v>
      </c>
    </row>
    <row r="5" spans="1:2" x14ac:dyDescent="0.25">
      <c r="A5" t="s">
        <v>38</v>
      </c>
      <c r="B5" s="21" t="s">
        <v>70</v>
      </c>
    </row>
    <row r="6" spans="1:2" x14ac:dyDescent="0.25">
      <c r="A6" t="s">
        <v>71</v>
      </c>
      <c r="B6" s="21" t="s">
        <v>72</v>
      </c>
    </row>
    <row r="7" spans="1:2" x14ac:dyDescent="0.25">
      <c r="A7" t="s">
        <v>73</v>
      </c>
      <c r="B7" s="21" t="s">
        <v>74</v>
      </c>
    </row>
    <row r="8" spans="1:2" x14ac:dyDescent="0.25">
      <c r="A8" t="s">
        <v>75</v>
      </c>
      <c r="B8" s="21" t="s">
        <v>76</v>
      </c>
    </row>
    <row r="9" spans="1:2" x14ac:dyDescent="0.25">
      <c r="A9" t="s">
        <v>77</v>
      </c>
      <c r="B9" s="21" t="s">
        <v>78</v>
      </c>
    </row>
    <row r="10" spans="1:2" x14ac:dyDescent="0.25">
      <c r="A10" s="20" t="s">
        <v>79</v>
      </c>
      <c r="B10" s="20"/>
    </row>
    <row r="11" spans="1:2" x14ac:dyDescent="0.25">
      <c r="A11" t="s">
        <v>80</v>
      </c>
      <c r="B11" s="21" t="s">
        <v>81</v>
      </c>
    </row>
    <row r="12" spans="1:2" x14ac:dyDescent="0.25">
      <c r="A12" t="s">
        <v>82</v>
      </c>
      <c r="B12" s="21" t="s">
        <v>83</v>
      </c>
    </row>
    <row r="13" spans="1:2" x14ac:dyDescent="0.25">
      <c r="A13" t="s">
        <v>84</v>
      </c>
      <c r="B13" s="21" t="s">
        <v>85</v>
      </c>
    </row>
    <row r="14" spans="1:2" x14ac:dyDescent="0.25">
      <c r="A14" t="s">
        <v>86</v>
      </c>
      <c r="B14" s="21" t="s">
        <v>87</v>
      </c>
    </row>
    <row r="15" spans="1:2" x14ac:dyDescent="0.25">
      <c r="A15" t="s">
        <v>88</v>
      </c>
      <c r="B15" s="21" t="s">
        <v>89</v>
      </c>
    </row>
    <row r="16" spans="1:2" x14ac:dyDescent="0.25">
      <c r="A16" t="s">
        <v>90</v>
      </c>
      <c r="B16" s="21" t="s">
        <v>91</v>
      </c>
    </row>
    <row r="17" spans="1:2" x14ac:dyDescent="0.25">
      <c r="A17" t="s">
        <v>92</v>
      </c>
      <c r="B17" s="21" t="s">
        <v>93</v>
      </c>
    </row>
    <row r="18" spans="1:2" x14ac:dyDescent="0.25">
      <c r="A18" s="20" t="s">
        <v>94</v>
      </c>
      <c r="B18" s="20"/>
    </row>
    <row r="19" spans="1:2" x14ac:dyDescent="0.25">
      <c r="A19" t="s">
        <v>95</v>
      </c>
      <c r="B19" s="22" t="s">
        <v>96</v>
      </c>
    </row>
    <row r="20" spans="1:2" x14ac:dyDescent="0.25">
      <c r="A20" t="s">
        <v>97</v>
      </c>
      <c r="B20" s="22" t="s">
        <v>98</v>
      </c>
    </row>
    <row r="21" spans="1:2" x14ac:dyDescent="0.25">
      <c r="A21" t="s">
        <v>99</v>
      </c>
      <c r="B21" s="22" t="s">
        <v>100</v>
      </c>
    </row>
    <row r="22" spans="1:2" x14ac:dyDescent="0.25">
      <c r="A22" t="s">
        <v>101</v>
      </c>
      <c r="B22" s="22" t="s">
        <v>102</v>
      </c>
    </row>
    <row r="23" spans="1:2" x14ac:dyDescent="0.25">
      <c r="A23" t="s">
        <v>103</v>
      </c>
      <c r="B23" s="22" t="s">
        <v>104</v>
      </c>
    </row>
    <row r="24" spans="1:2" x14ac:dyDescent="0.25">
      <c r="A24" t="s">
        <v>105</v>
      </c>
      <c r="B24" s="22" t="s">
        <v>106</v>
      </c>
    </row>
    <row r="25" spans="1:2" x14ac:dyDescent="0.25">
      <c r="A25" t="s">
        <v>107</v>
      </c>
      <c r="B25" s="22" t="s">
        <v>108</v>
      </c>
    </row>
    <row r="26" spans="1:2" x14ac:dyDescent="0.25">
      <c r="A26" t="s">
        <v>109</v>
      </c>
      <c r="B26" s="22" t="s">
        <v>110</v>
      </c>
    </row>
    <row r="27" spans="1:2" x14ac:dyDescent="0.25">
      <c r="A27" t="s">
        <v>111</v>
      </c>
      <c r="B27" s="22" t="s">
        <v>112</v>
      </c>
    </row>
    <row r="28" spans="1:2" x14ac:dyDescent="0.25">
      <c r="A28" t="s">
        <v>113</v>
      </c>
      <c r="B28" s="22" t="s">
        <v>114</v>
      </c>
    </row>
    <row r="29" spans="1:2" x14ac:dyDescent="0.25">
      <c r="A29" t="s">
        <v>115</v>
      </c>
      <c r="B29" s="22" t="s">
        <v>116</v>
      </c>
    </row>
    <row r="30" spans="1:2" x14ac:dyDescent="0.25">
      <c r="A30" t="s">
        <v>117</v>
      </c>
      <c r="B30" s="22" t="s">
        <v>118</v>
      </c>
    </row>
    <row r="31" spans="1:2" x14ac:dyDescent="0.25">
      <c r="A31" t="s">
        <v>119</v>
      </c>
      <c r="B31" s="22" t="s">
        <v>120</v>
      </c>
    </row>
    <row r="32" spans="1:2" x14ac:dyDescent="0.25">
      <c r="A32" t="s">
        <v>121</v>
      </c>
      <c r="B32" s="22" t="s">
        <v>122</v>
      </c>
    </row>
    <row r="33" spans="1:2" x14ac:dyDescent="0.25">
      <c r="A33" t="s">
        <v>123</v>
      </c>
      <c r="B33" s="22" t="s">
        <v>124</v>
      </c>
    </row>
    <row r="34" spans="1:2" x14ac:dyDescent="0.25">
      <c r="A34" s="23" t="s">
        <v>125</v>
      </c>
      <c r="B34" s="23" t="s">
        <v>126</v>
      </c>
    </row>
    <row r="35" spans="1:2" x14ac:dyDescent="0.25">
      <c r="A35" s="20" t="s">
        <v>127</v>
      </c>
      <c r="B35" s="20"/>
    </row>
    <row r="36" spans="1:2" x14ac:dyDescent="0.25">
      <c r="A36" t="s">
        <v>128</v>
      </c>
      <c r="B36" s="22" t="s">
        <v>129</v>
      </c>
    </row>
    <row r="37" spans="1:2" x14ac:dyDescent="0.25">
      <c r="A37" t="s">
        <v>130</v>
      </c>
      <c r="B37" s="22" t="s">
        <v>131</v>
      </c>
    </row>
    <row r="38" spans="1:2" x14ac:dyDescent="0.25">
      <c r="A38" t="s">
        <v>132</v>
      </c>
      <c r="B38" s="22" t="s">
        <v>133</v>
      </c>
    </row>
    <row r="39" spans="1:2" x14ac:dyDescent="0.25">
      <c r="A39" t="s">
        <v>134</v>
      </c>
      <c r="B39" s="22" t="s">
        <v>135</v>
      </c>
    </row>
    <row r="40" spans="1:2" x14ac:dyDescent="0.25">
      <c r="A40" t="s">
        <v>136</v>
      </c>
      <c r="B40" s="22" t="s">
        <v>137</v>
      </c>
    </row>
    <row r="41" spans="1:2" x14ac:dyDescent="0.25">
      <c r="A41" t="s">
        <v>138</v>
      </c>
      <c r="B41" s="22" t="s">
        <v>139</v>
      </c>
    </row>
    <row r="42" spans="1:2" x14ac:dyDescent="0.25">
      <c r="A42" t="s">
        <v>140</v>
      </c>
      <c r="B42" s="22" t="s">
        <v>141</v>
      </c>
    </row>
    <row r="43" spans="1:2" x14ac:dyDescent="0.25">
      <c r="A43" t="s">
        <v>142</v>
      </c>
      <c r="B43" s="22" t="s">
        <v>143</v>
      </c>
    </row>
    <row r="44" spans="1:2" x14ac:dyDescent="0.25">
      <c r="A44" t="s">
        <v>144</v>
      </c>
      <c r="B44" s="22" t="s">
        <v>145</v>
      </c>
    </row>
    <row r="45" spans="1:2" x14ac:dyDescent="0.25">
      <c r="A45" t="s">
        <v>146</v>
      </c>
      <c r="B45" s="22" t="s">
        <v>147</v>
      </c>
    </row>
    <row r="46" spans="1:2" x14ac:dyDescent="0.25">
      <c r="A46" t="s">
        <v>148</v>
      </c>
      <c r="B46" s="22" t="s">
        <v>149</v>
      </c>
    </row>
    <row r="47" spans="1:2" x14ac:dyDescent="0.25">
      <c r="A47" t="s">
        <v>150</v>
      </c>
      <c r="B47" s="22" t="s">
        <v>151</v>
      </c>
    </row>
    <row r="48" spans="1:2" x14ac:dyDescent="0.25">
      <c r="A48" t="s">
        <v>152</v>
      </c>
      <c r="B48" s="22" t="s">
        <v>153</v>
      </c>
    </row>
    <row r="49" spans="1:2" x14ac:dyDescent="0.25">
      <c r="A49" t="s">
        <v>154</v>
      </c>
      <c r="B49" s="22" t="s">
        <v>155</v>
      </c>
    </row>
    <row r="50" spans="1:2" x14ac:dyDescent="0.25">
      <c r="A50" t="s">
        <v>156</v>
      </c>
      <c r="B50" s="22" t="s">
        <v>157</v>
      </c>
    </row>
    <row r="51" spans="1:2" x14ac:dyDescent="0.25">
      <c r="A51" t="s">
        <v>158</v>
      </c>
      <c r="B51" s="22" t="s">
        <v>159</v>
      </c>
    </row>
    <row r="52" spans="1:2" x14ac:dyDescent="0.25">
      <c r="A52" t="s">
        <v>160</v>
      </c>
      <c r="B52" s="22" t="s">
        <v>161</v>
      </c>
    </row>
    <row r="53" spans="1:2" x14ac:dyDescent="0.25">
      <c r="A53" t="s">
        <v>162</v>
      </c>
      <c r="B53" s="22" t="s">
        <v>163</v>
      </c>
    </row>
    <row r="54" spans="1:2" x14ac:dyDescent="0.25">
      <c r="A54" t="s">
        <v>164</v>
      </c>
      <c r="B54" s="22" t="s">
        <v>165</v>
      </c>
    </row>
    <row r="55" spans="1:2" x14ac:dyDescent="0.25">
      <c r="A55" t="s">
        <v>166</v>
      </c>
      <c r="B55" s="22" t="s">
        <v>167</v>
      </c>
    </row>
    <row r="56" spans="1:2" x14ac:dyDescent="0.25">
      <c r="A56" t="s">
        <v>168</v>
      </c>
      <c r="B56" s="22" t="s">
        <v>169</v>
      </c>
    </row>
    <row r="57" spans="1:2" x14ac:dyDescent="0.25">
      <c r="A57" t="s">
        <v>170</v>
      </c>
      <c r="B57" s="22" t="s">
        <v>171</v>
      </c>
    </row>
    <row r="58" spans="1:2" x14ac:dyDescent="0.25">
      <c r="A58" t="s">
        <v>172</v>
      </c>
      <c r="B58" s="22" t="s">
        <v>173</v>
      </c>
    </row>
    <row r="59" spans="1:2" x14ac:dyDescent="0.25">
      <c r="A59" t="s">
        <v>174</v>
      </c>
      <c r="B59" s="22" t="s">
        <v>175</v>
      </c>
    </row>
    <row r="60" spans="1:2" x14ac:dyDescent="0.25">
      <c r="A60" t="s">
        <v>176</v>
      </c>
      <c r="B60" s="22" t="s">
        <v>177</v>
      </c>
    </row>
    <row r="61" spans="1:2" x14ac:dyDescent="0.25">
      <c r="A61" t="s">
        <v>178</v>
      </c>
      <c r="B61" s="22" t="s">
        <v>179</v>
      </c>
    </row>
    <row r="62" spans="1:2" x14ac:dyDescent="0.25">
      <c r="A62" t="s">
        <v>180</v>
      </c>
      <c r="B62" s="22" t="s">
        <v>181</v>
      </c>
    </row>
    <row r="63" spans="1:2" x14ac:dyDescent="0.25">
      <c r="A63" t="s">
        <v>182</v>
      </c>
      <c r="B63" s="22" t="s">
        <v>183</v>
      </c>
    </row>
    <row r="64" spans="1:2" x14ac:dyDescent="0.25">
      <c r="A64" t="s">
        <v>184</v>
      </c>
      <c r="B64" s="22" t="s">
        <v>185</v>
      </c>
    </row>
    <row r="65" spans="1:2" x14ac:dyDescent="0.25">
      <c r="A65" t="s">
        <v>186</v>
      </c>
      <c r="B65" s="22" t="s">
        <v>187</v>
      </c>
    </row>
    <row r="66" spans="1:2" x14ac:dyDescent="0.25">
      <c r="A66" t="s">
        <v>188</v>
      </c>
      <c r="B66" s="22" t="s">
        <v>189</v>
      </c>
    </row>
    <row r="67" spans="1:2" x14ac:dyDescent="0.25">
      <c r="A67" t="s">
        <v>190</v>
      </c>
      <c r="B67" s="22" t="s">
        <v>191</v>
      </c>
    </row>
    <row r="68" spans="1:2" x14ac:dyDescent="0.25">
      <c r="A68" t="s">
        <v>192</v>
      </c>
      <c r="B68" s="22" t="s">
        <v>193</v>
      </c>
    </row>
    <row r="69" spans="1:2" x14ac:dyDescent="0.25">
      <c r="A69" t="s">
        <v>194</v>
      </c>
      <c r="B69" s="22" t="s">
        <v>195</v>
      </c>
    </row>
    <row r="70" spans="1:2" x14ac:dyDescent="0.25">
      <c r="A70" s="23" t="s">
        <v>196</v>
      </c>
      <c r="B70" s="23" t="s">
        <v>197</v>
      </c>
    </row>
  </sheetData>
  <mergeCells count="4">
    <mergeCell ref="A1:B1"/>
    <mergeCell ref="A10:B10"/>
    <mergeCell ref="A18:B18"/>
    <mergeCell ref="A35:B3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75569"/>
  </sheetPr>
  <dimension ref="A1:E8"/>
  <sheetFormatPr defaultRowHeight="15" outlineLevelRow="0" outlineLevelCol="0" x14ac:dyDescent="55"/>
  <cols>
    <col min="1" max="1" width="14" customWidth="1"/>
    <col min="2" max="5" width="12" customWidth="1"/>
  </cols>
  <sheetData>
    <row r="1" spans="1:5" x14ac:dyDescent="0.25">
      <c r="A1" s="4" t="s">
        <v>198</v>
      </c>
      <c r="B1" s="4" t="s">
        <v>199</v>
      </c>
      <c r="C1" s="4" t="s">
        <v>200</v>
      </c>
      <c r="D1" s="4" t="s">
        <v>201</v>
      </c>
      <c r="E1" s="4" t="s">
        <v>202</v>
      </c>
    </row>
    <row r="2" spans="1:5" x14ac:dyDescent="0.25">
      <c r="A2" s="5" t="s">
        <v>35</v>
      </c>
      <c r="B2" s="24">
        <v>0.013550135501355</v>
      </c>
      <c r="C2" s="24">
        <v>4.694600993224932</v>
      </c>
      <c r="D2" s="24">
        <v>1.0027100271002711</v>
      </c>
      <c r="E2" s="24">
        <v>9.418699186991873</v>
      </c>
    </row>
    <row r="3" spans="1:5" x14ac:dyDescent="0.25">
      <c r="A3" s="8" t="s">
        <v>38</v>
      </c>
      <c r="B3" s="25">
        <v>0.91494675956356</v>
      </c>
      <c r="C3" s="25">
        <v>2.217196589822707</v>
      </c>
      <c r="D3" s="25">
        <v>1.0125542263704483</v>
      </c>
      <c r="E3" s="25">
        <v>2.2171965898227066</v>
      </c>
    </row>
    <row r="4" spans="1:5" x14ac:dyDescent="0.25">
      <c r="A4" s="5" t="s">
        <v>203</v>
      </c>
      <c r="B4" s="24">
        <v>0</v>
      </c>
      <c r="C4" s="24">
        <v>4.9</v>
      </c>
      <c r="D4" s="24">
        <v>0</v>
      </c>
      <c r="E4" s="24">
        <v>4.95</v>
      </c>
    </row>
    <row r="5" spans="1:5" x14ac:dyDescent="0.25">
      <c r="A5" s="8" t="s">
        <v>204</v>
      </c>
      <c r="B5" s="25">
        <v>0</v>
      </c>
      <c r="C5" s="25">
        <v>1.5</v>
      </c>
      <c r="D5" s="25">
        <v>0</v>
      </c>
      <c r="E5" s="25">
        <v>5</v>
      </c>
    </row>
    <row r="6" spans="1:5" x14ac:dyDescent="0.25">
      <c r="A6" s="5" t="s">
        <v>205</v>
      </c>
      <c r="B6" s="24">
        <v>0</v>
      </c>
      <c r="C6" s="24">
        <v>0.89</v>
      </c>
      <c r="D6" s="24">
        <v>0</v>
      </c>
      <c r="E6" s="24">
        <v>0.89</v>
      </c>
    </row>
    <row r="7" spans="1:5" x14ac:dyDescent="0.25">
      <c r="A7" s="8" t="s">
        <v>206</v>
      </c>
      <c r="B7" s="25">
        <v>0</v>
      </c>
      <c r="C7" s="25">
        <v>0.7636</v>
      </c>
      <c r="D7" s="25">
        <v>0</v>
      </c>
      <c r="E7" s="25">
        <v>0.7636</v>
      </c>
    </row>
    <row r="8" spans="1:5" x14ac:dyDescent="0.25">
      <c r="A8" s="5" t="s">
        <v>71</v>
      </c>
      <c r="B8" s="24">
        <v>0.00013235989543</v>
      </c>
      <c r="C8" s="24">
        <v>1.294887038140309</v>
      </c>
      <c r="D8" s="24">
        <v>0.001681</v>
      </c>
      <c r="E8" s="24">
        <v>1.6030851769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5803D"/>
  </sheetPr>
  <dimension ref="A1:A37"/>
  <sheetFormatPr defaultRowHeight="15" outlineLevelRow="0" outlineLevelCol="0" x14ac:dyDescent="55"/>
  <cols>
    <col min="1" max="1" width="90" customWidth="1"/>
  </cols>
  <sheetData>
    <row r="1" ht="28" customHeight="1" spans="1:1" x14ac:dyDescent="0.25">
      <c r="A1" s="26" t="s">
        <v>207</v>
      </c>
    </row>
    <row r="3" ht="20" customHeight="1" spans="1:1" x14ac:dyDescent="0.25">
      <c r="A3" s="27" t="s">
        <v>208</v>
      </c>
    </row>
    <row r="4" ht="16" customHeight="1" spans="1:1" x14ac:dyDescent="0.25">
      <c r="A4" s="28" t="s">
        <v>209</v>
      </c>
    </row>
    <row r="5" ht="16" customHeight="1" spans="1:1" x14ac:dyDescent="0.25">
      <c r="A5" s="28" t="s">
        <v>210</v>
      </c>
    </row>
    <row r="6" ht="16" customHeight="1" spans="1:1" x14ac:dyDescent="0.25">
      <c r="A6" s="28" t="s">
        <v>211</v>
      </c>
    </row>
    <row r="7" ht="16" customHeight="1" spans="1:1" x14ac:dyDescent="0.25">
      <c r="A7" s="28" t="s">
        <v>212</v>
      </c>
    </row>
    <row r="9" ht="20" customHeight="1" spans="1:1" x14ac:dyDescent="0.25">
      <c r="A9" s="27" t="s">
        <v>213</v>
      </c>
    </row>
    <row r="10" ht="16" customHeight="1" spans="1:1" x14ac:dyDescent="0.25">
      <c r="A10" s="28" t="s">
        <v>214</v>
      </c>
    </row>
    <row r="11" ht="16" customHeight="1" spans="1:1" x14ac:dyDescent="0.25">
      <c r="A11" s="28" t="s">
        <v>215</v>
      </c>
    </row>
    <row r="12" ht="16" customHeight="1" spans="1:1" x14ac:dyDescent="0.25">
      <c r="A12" s="28" t="s">
        <v>216</v>
      </c>
    </row>
    <row r="13" ht="16" customHeight="1" spans="1:1" x14ac:dyDescent="0.25">
      <c r="A13" s="28" t="s">
        <v>217</v>
      </c>
    </row>
    <row r="14" ht="16" customHeight="1" spans="1:1" x14ac:dyDescent="0.25">
      <c r="A14" s="28" t="s">
        <v>218</v>
      </c>
    </row>
    <row r="15" ht="16" customHeight="1" spans="1:1" x14ac:dyDescent="0.25">
      <c r="A15" s="28" t="s">
        <v>219</v>
      </c>
    </row>
    <row r="16" ht="16" customHeight="1" spans="1:1" x14ac:dyDescent="0.25">
      <c r="A16" s="28" t="s">
        <v>220</v>
      </c>
    </row>
    <row r="17" ht="16" customHeight="1" spans="1:1" x14ac:dyDescent="0.25">
      <c r="A17" s="28" t="s">
        <v>221</v>
      </c>
    </row>
    <row r="19" ht="20" customHeight="1" spans="1:1" x14ac:dyDescent="0.25">
      <c r="A19" s="27" t="s">
        <v>222</v>
      </c>
    </row>
    <row r="20" ht="16" customHeight="1" spans="1:1" x14ac:dyDescent="0.25">
      <c r="A20" s="28" t="s">
        <v>223</v>
      </c>
    </row>
    <row r="21" ht="16" customHeight="1" spans="1:1" x14ac:dyDescent="0.25">
      <c r="A21" s="28" t="s">
        <v>224</v>
      </c>
    </row>
    <row r="22" ht="16" customHeight="1" spans="1:1" x14ac:dyDescent="0.25">
      <c r="A22" s="28" t="s">
        <v>225</v>
      </c>
    </row>
    <row r="24" ht="20" customHeight="1" spans="1:1" x14ac:dyDescent="0.25">
      <c r="A24" s="27" t="s">
        <v>226</v>
      </c>
    </row>
    <row r="25" ht="16" customHeight="1" spans="1:1" x14ac:dyDescent="0.25">
      <c r="A25" s="28" t="s">
        <v>227</v>
      </c>
    </row>
    <row r="26" ht="16" customHeight="1" spans="1:1" x14ac:dyDescent="0.25">
      <c r="A26" s="28" t="s">
        <v>228</v>
      </c>
    </row>
    <row r="27" ht="16" customHeight="1" spans="1:1" x14ac:dyDescent="0.25">
      <c r="A27" s="28" t="s">
        <v>229</v>
      </c>
    </row>
    <row r="28" ht="16" customHeight="1" spans="1:1" x14ac:dyDescent="0.25">
      <c r="A28" s="28" t="s">
        <v>230</v>
      </c>
    </row>
    <row r="29" ht="16" customHeight="1" spans="1:1" x14ac:dyDescent="0.25">
      <c r="A29" s="28" t="s">
        <v>231</v>
      </c>
    </row>
    <row r="31" ht="20" customHeight="1" spans="1:1" x14ac:dyDescent="0.25">
      <c r="A31" s="27" t="s">
        <v>232</v>
      </c>
    </row>
    <row r="32" ht="16" customHeight="1" spans="1:1" x14ac:dyDescent="0.25">
      <c r="A32" s="28" t="s">
        <v>233</v>
      </c>
    </row>
    <row r="33" ht="16" customHeight="1" spans="1:1" x14ac:dyDescent="0.25">
      <c r="A33" s="28" t="s">
        <v>234</v>
      </c>
    </row>
    <row r="35" ht="20" customHeight="1" spans="1:1" x14ac:dyDescent="0.25">
      <c r="A35" s="27" t="s">
        <v>235</v>
      </c>
    </row>
    <row r="36" ht="16" customHeight="1" spans="1:1" x14ac:dyDescent="0.25">
      <c r="A36" s="28" t="s">
        <v>236</v>
      </c>
    </row>
    <row r="37" ht="16" customHeight="1" spans="1:1" x14ac:dyDescent="0.25">
      <c r="A37" s="28" t="s">
        <v>237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INPUT</vt:lpstr>
      <vt:lpstr>MARS_ENGINE</vt:lpstr>
      <vt:lpstr>SCALERS</vt:lpstr>
      <vt:lpstr>INSTRUCTIONS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IFT-SafePredict v1.0</dc:creator>
  <dc:title/>
  <dc:subject/>
  <dc:description/>
  <cp:keywords/>
  <cp:category/>
  <cp:lastModifiedBy>Unknown</cp:lastModifiedBy>
  <dcterms:created xsi:type="dcterms:W3CDTF">2026-08-02T09:21:35Z</dcterms:created>
  <dcterms:modified xsi:type="dcterms:W3CDTF">2026-08-02T09:21:35Z</dcterms:modified>
</cp:coreProperties>
</file>