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'MARS_ENGINE'!$B$33</definedName>
    <definedName name="Sup_IFT">'MARS_ENGINE'!$B$68</definedName>
  </definedNames>
  <calcPr calcId="171027"/>
</workbook>
</file>

<file path=xl/sharedStrings.xml><?xml version="1.0" encoding="utf-8"?>
<sst xmlns="http://schemas.openxmlformats.org/spreadsheetml/2006/main" count="256" uniqueCount="234">
  <si>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</si>
  <si>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</si>
  <si>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</si>
  <si>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</si>
  <si>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</si>
  <si>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</si>
  <si>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</si>
  <si>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</si>
  <si>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</si>
  <si>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</si>
  <si>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</si>
  <si>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</si>
  <si>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</si>
  <si>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</si>
  <si>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</si>
  <si>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</si>
  <si>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</si>
  <si>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</si>
  <si>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</si>
  <si>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</si>
  <si>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</si>
  <si>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</si>
  <si>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</si>
  <si>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</si>
  <si>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</si>
  <si>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</si>
  <si>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</si>
  <si>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</si>
  <si>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</si>
  <si>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</si>
  <si>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</si>
  <si>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</si>
  <si>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</si>
  <si>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</si>
  <si>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</si>
  <si>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</si>
  <si>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</si>
  <si>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</si>
  <si>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</si>
  <si>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</si>
  <si>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</si>
  <si>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</si>
  <si>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</si>
  <si>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</si>
  <si>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</si>
  <si>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</si>
  <si>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</si>
  <si>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</si>
  <si>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</si>
  <si>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</si>
  <si>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</si>
  <si>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</si>
  <si>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</si>
  <si>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</si>
  <si>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</si>
  <si>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</si>
  <si>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</si>
  <si>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</si>
  <si>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</si>
  <si>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</si>
  <si>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</si>
  <si>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</si>
  <si>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</si>
  <si>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</si>
  <si>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</si>
  <si>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</si>
  <si>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</si>
  <si>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</si>
  <si>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</si>
  <si>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</si>
  <si>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</si>
  <si>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</si>
  <si>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</si>
  <si>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</si>
  <si>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</si>
  <si>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</si>
  <si>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</si>
  <si>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</si>
  <si>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</si>
  <si>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</si>
  <si>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</si>
  <si>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</si>
  <si>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</si>
  <si>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</si>
  <si>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</si>
  <si>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</si>
  <si>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</si>
  <si>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</si>
  <si>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</si>
  <si>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</si>
  <si>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</si>
  <si>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</si>
  <si>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</si>
  <si>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</si>
  <si>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</si>
  <si>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</si>
  <si>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</si>
  <si>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</si>
  <si>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</si>
  <si>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</si>
  <si>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</si>
  <si>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</si>
  <si>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</si>
  <si>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</si>
  <si>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</si>
  <si>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</si>
  <si>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</si>
  <si>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</si>
  <si>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</si>
  <si>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</si>
  <si>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</si>
  <si>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</si>
  <si>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</si>
  <si>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</si>
  <si>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</si>
  <si>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</si>
  <si>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</si>
  <si>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</si>
  <si>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=+283.6242*(MAX(0,(-0.516)-SC_Tr)*MAX(0,SC_drho_sq-(0.0282)))</t>
  </si>
  <si>
    <t>Sub term 13 (×-45.0736)</t>
  </si>
  <si>
    <t>=-45.0736*(MAX(0,SC_Tr-(-0.8978))*MAX(0,(0.0282)-SC_drho_sq))</t>
  </si>
  <si>
    <t>Sub term 14 (×+38.3241)</t>
  </si>
  <si>
    <t>=+38.3241*(MAX(0,(-0.8978)-SC_Tr)*MAX(0,(0.0282)-SC_drho_sq))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</si>
  <si>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</si>
  <si>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</t>
  </si>
  <si>
    <t>§4 — Supercritical MARS (35-term) — used when regime = Supercritical</t>
  </si>
  <si>
    <t>Sup term 1 (×-59.8927)</t>
  </si>
  <si>
    <t>=-59.8927*(MAX(0,SC_drho_sq-(0.4517)))</t>
  </si>
  <si>
    <t>Sup term 2 (×+84.6131)</t>
  </si>
  <si>
    <t>=+84.6131*(MAX(0,(0.4517)-SC_drho_sq))</t>
  </si>
  <si>
    <t>Sup term 3 (×-32.995)</t>
  </si>
  <si>
    <t>=-32.995*(MAX(0,SC_x_N2-(0.9652)))</t>
  </si>
  <si>
    <t>Sup term 4 (×-64.0876)</t>
  </si>
  <si>
    <t>=-64.0876*(MAX(0,(0.9652)-SC_x_N2))</t>
  </si>
  <si>
    <t>Sup term 5 (×+3.4684)</t>
  </si>
  <si>
    <t>=+3.4684*(MAX(0,SC_x_CH4-(0.7966)))</t>
  </si>
  <si>
    <t>Sup term 6 (×-8.4184)</t>
  </si>
  <si>
    <t>=-8.4184*(MAX(0,(0.7966)-SC_x_CH4))</t>
  </si>
  <si>
    <t>Sup term 7 (×-1959.2987)</t>
  </si>
  <si>
    <t>=-1959.2987*(MAX(0,SC_BCM-(-0.64))*MAX(0,(0.4517)-SC_drho_sq))</t>
  </si>
  <si>
    <t>Sup term 8 (×+34.4304)</t>
  </si>
  <si>
    <t>=+34.4304*(MAX(0,(-0.64)-SC_BCM)*MAX(0,(0.4517)-SC_drho_sq))</t>
  </si>
  <si>
    <t>Sup term 9 (×+3.1914)</t>
  </si>
  <si>
    <t>=+3.1914*(MAX(0,SC_Tr-(-0.5087))*MAX(0,(0.4517)-SC_drho_sq))</t>
  </si>
  <si>
    <t>Sup term 10 (×-8.6816)</t>
  </si>
  <si>
    <t>=-8.6816*(MAX(0,(-0.5087)-SC_Tr)*MAX(0,(0.4517)-SC_drho_sq))</t>
  </si>
  <si>
    <t>Sup term 11 (×+4.235)</t>
  </si>
  <si>
    <t>=+4.235*(MAX(0,SC_MCM-(-0.802))*MAX(0,(0.4517)-SC_drho_sq))</t>
  </si>
  <si>
    <t>Sup term 12 (×-29.5554)</t>
  </si>
  <si>
    <t>=-29.5554*(MAX(0,(-0.802)-SC_MCM)*MAX(0,(0.4517)-SC_drho_sq))</t>
  </si>
  <si>
    <t>Sup term 13 (×+31.1754)</t>
  </si>
  <si>
    <t>=+31.1754*(MAX(0,SC_Tr-(-0.7733))*MAX(0,(0.9652)-SC_x_N2))</t>
  </si>
  <si>
    <t>Sup term 14 (×+1733.7711)</t>
  </si>
  <si>
    <t>=+1733.7711*(MAX(0,(-0.7733)-SC_Tr)*MAX(0,(0.9652)-SC_x_N2))</t>
  </si>
  <si>
    <t>Sup term 15 (×+302.2371)</t>
  </si>
  <si>
    <t>=+302.2371*(MAX(0,SC_Tr-(-0.7165))*MAX(0,(0.4517)-SC_drho_sq))</t>
  </si>
  <si>
    <t>Sup term 16 (×+28.3565)</t>
  </si>
  <si>
    <t>=+28.3565*(MAX(0,SC_Tr-(-0.499))*MAX(0,(0.4517)-SC_drho_sq))</t>
  </si>
  <si>
    <t>Sup term 17 (×-136.4932)</t>
  </si>
  <si>
    <t>=-136.4932*(MAX(0,SC_Tr-(-0.5359))*MAX(0,(0.4517)-SC_drho_sq))</t>
  </si>
  <si>
    <t>Sup term 18 (×-133.9788)</t>
  </si>
  <si>
    <t>=-133.9788*(MAX(0,SC_Pr-(-0.9628))*MAX(0,(0.7966)-SC_x_CH4))</t>
  </si>
  <si>
    <t>Sup term 19 (×+126.0387)</t>
  </si>
  <si>
    <t>=+126.0387*(MAX(0,(-0.9628)-SC_Pr)*MAX(0,(0.7966)-SC_x_CH4))</t>
  </si>
  <si>
    <t>Sup term 20 (×+8.6252)</t>
  </si>
  <si>
    <t>=+8.6252*(MAX(0,SC_Tr-(-0.437))*MAX(0,(0.4517)-SC_drho_sq))</t>
  </si>
  <si>
    <t>Sup term 21 (×-13.5765)</t>
  </si>
  <si>
    <t>=-13.5765*(MAX(0,(0.7966)-SC_x_CH4)*MAX(0,SC_x_N2-(-0.3434)))</t>
  </si>
  <si>
    <t>Sup term 22 (×+21.9898)</t>
  </si>
  <si>
    <t>=+21.9898*(MAX(0,(0.7966)-SC_x_CH4)*MAX(0,SC_x_N2-(-0.3675)))</t>
  </si>
  <si>
    <t>Sup term 23 (×+24.6178)</t>
  </si>
  <si>
    <t>=+24.6178*(MAX(0,SC_Pr-(-0.8438))*MAX(0,(0.9652)-SC_x_N2))</t>
  </si>
  <si>
    <t>Sup term 24 (×+24.9711)</t>
  </si>
  <si>
    <t>=+24.9711*(MAX(0,(-0.8438)-SC_Pr)*MAX(0,(0.9652)-SC_x_N2))</t>
  </si>
  <si>
    <t>Sup term 25 (×-19.7154)</t>
  </si>
  <si>
    <t>=-19.7154*(MAX(0,SC_x_N2-(0.2907))*MAX(0,(0.4517)-SC_drho_sq))</t>
  </si>
  <si>
    <t>Sup term 26 (×+2.3966)</t>
  </si>
  <si>
    <t>=+2.3966*(MAX(0,(0.2907)-SC_x_N2)*MAX(0,(0.4517)-SC_drho_sq))</t>
  </si>
  <si>
    <t>Sup term 27 (×+68.834)</t>
  </si>
  <si>
    <t>=+68.834*(MAX(0,SC_Pr-(-0.7159)))</t>
  </si>
  <si>
    <t>Sup term 28 (×+3.7786)</t>
  </si>
  <si>
    <t>=+3.7786*(MAX(0,(-0.7159)-SC_Pr))</t>
  </si>
  <si>
    <t>Sup term 29 (×+5.372)</t>
  </si>
  <si>
    <t>=+5.372*(MAX(0,SC_BCM-(-0.982))*MAX(0,(0.9652)-SC_x_N2))</t>
  </si>
  <si>
    <t>Sup term 30 (×-31.8591)</t>
  </si>
  <si>
    <t>=-31.8591*(MAX(0,(-0.982)-SC_BCM)*MAX(0,(0.9652)-SC_x_N2))</t>
  </si>
  <si>
    <t>Sup term 31 (×+11.3604)</t>
  </si>
  <si>
    <t>=+11.3604*(MAX(0,SC_Tr-(-0.3379))*MAX(0,(0.7966)-SC_x_CH4))</t>
  </si>
  <si>
    <t>Sup term 32 (×+25.7311)</t>
  </si>
  <si>
    <t>=+25.7311*(MAX(0,(-0.3379)-SC_Tr)*MAX(0,(0.7966)-SC_x_CH4))</t>
  </si>
  <si>
    <t>Sup term 33 (×-133.2863)</t>
  </si>
  <si>
    <t>=-133.2863*(MAX(0,SC_x_CH4-(-0.7551))*MAX(0,(0.9652)-SC_x_N2))</t>
  </si>
  <si>
    <t>Sup IFT (mN/m)</t>
  </si>
  <si>
    <t>=221.1467+MARS_ENGINE!B35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</si>
  <si>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</si>
  <si>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</si>
  <si>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</si>
  <si>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</si>
  <si>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</si>
  <si>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</si>
  <si>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</si>
  <si>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</si>
  <si>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</si>
  <si>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</si>
  <si>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</si>
  <si>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</si>
  <si>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</si>
  <si>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</si>
  <si>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</si>
  <si>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</si>
  <si>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</si>
  <si>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</si>
  <si>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</si>
  <si>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</si>
  <si>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</si>
  <si>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</si>
  <si>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</si>
  <si>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</si>
  <si>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</si>
  <si>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</si>
  <si>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</si>
  <si>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</si>
  <si>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</si>
  <si>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</si>
  <si>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nRMSE=5.95%,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</si>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</sst>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6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s="23" t="s">
        <v>123</v>
      </c>
      <c r="B33" s="23" t="s">
        <v>124</v>
      </c>
    </row>
    <row r="34" spans="1:2" x14ac:dyDescent="0.25">
      <c r="A34" s="20" t="s">
        <v>125</v>
      </c>
      <c r="B34" s="20"/>
    </row>
    <row r="35" spans="1:2" x14ac:dyDescent="0.25">
      <c r="A35" t="s">
        <v>126</v>
      </c>
      <c r="B35" s="22" t="s">
        <v>127</v>
      </c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s="23" t="s">
        <v>192</v>
      </c>
      <c r="B68" s="23" t="s">
        <v>193</v>
      </c>
    </row>
  </sheetData>
  <mergeCells count="4">
    <mergeCell ref="A1:B1"/>
    <mergeCell ref="A10:B10"/>
    <mergeCell ref="A18:B18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194</v>
      </c>
      <c r="B1" s="4" t="s">
        <v>195</v>
      </c>
      <c r="C1" s="4" t="s">
        <v>196</v>
      </c>
      <c r="D1" s="4" t="s">
        <v>197</v>
      </c>
      <c r="E1" s="4" t="s">
        <v>198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1.011</v>
      </c>
      <c r="E2" s="24">
        <v>4.457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1.002</v>
      </c>
      <c r="E3" s="25">
        <v>1.258</v>
      </c>
    </row>
    <row r="4" spans="1:5" x14ac:dyDescent="0.25">
      <c r="A4" s="5" t="s">
        <v>199</v>
      </c>
      <c r="B4" s="24">
        <v>0</v>
      </c>
      <c r="C4" s="24">
        <v>4.9</v>
      </c>
      <c r="D4" s="24">
        <v>0</v>
      </c>
      <c r="E4" s="24">
        <v>4.88</v>
      </c>
    </row>
    <row r="5" spans="1:5" x14ac:dyDescent="0.25">
      <c r="A5" s="8" t="s">
        <v>200</v>
      </c>
      <c r="B5" s="25">
        <v>0</v>
      </c>
      <c r="C5" s="25">
        <v>1.5</v>
      </c>
      <c r="D5" s="25">
        <v>0</v>
      </c>
      <c r="E5" s="25">
        <v>1.48</v>
      </c>
    </row>
    <row r="6" spans="1:5" x14ac:dyDescent="0.25">
      <c r="A6" s="5" t="s">
        <v>201</v>
      </c>
      <c r="B6" s="24">
        <v>0</v>
      </c>
      <c r="C6" s="24">
        <v>0.89</v>
      </c>
      <c r="D6" s="24">
        <v>0</v>
      </c>
      <c r="E6" s="24">
        <v>0.2</v>
      </c>
    </row>
    <row r="7" spans="1:5" x14ac:dyDescent="0.25">
      <c r="A7" s="8" t="s">
        <v>202</v>
      </c>
      <c r="B7" s="25">
        <v>0</v>
      </c>
      <c r="C7" s="25">
        <v>0.7636</v>
      </c>
      <c r="D7" s="25">
        <v>0</v>
      </c>
      <c r="E7" s="25">
        <v>0.15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</v>
      </c>
      <c r="E8" s="24">
        <v>0.198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203</v>
      </c>
    </row>
    <row r="3" ht="20" customHeight="1" spans="1:1" x14ac:dyDescent="0.25">
      <c r="A3" s="27" t="s">
        <v>204</v>
      </c>
    </row>
    <row r="4" ht="16" customHeight="1" spans="1:1" x14ac:dyDescent="0.25">
      <c r="A4" s="28" t="s">
        <v>205</v>
      </c>
    </row>
    <row r="5" ht="16" customHeight="1" spans="1:1" x14ac:dyDescent="0.25">
      <c r="A5" s="28" t="s">
        <v>206</v>
      </c>
    </row>
    <row r="6" ht="16" customHeight="1" spans="1:1" x14ac:dyDescent="0.25">
      <c r="A6" s="28" t="s">
        <v>207</v>
      </c>
    </row>
    <row r="7" ht="16" customHeight="1" spans="1:1" x14ac:dyDescent="0.25">
      <c r="A7" s="28" t="s">
        <v>208</v>
      </c>
    </row>
    <row r="9" ht="20" customHeight="1" spans="1:1" x14ac:dyDescent="0.25">
      <c r="A9" s="27" t="s">
        <v>209</v>
      </c>
    </row>
    <row r="10" ht="16" customHeight="1" spans="1:1" x14ac:dyDescent="0.25">
      <c r="A10" s="28" t="s">
        <v>210</v>
      </c>
    </row>
    <row r="11" ht="16" customHeight="1" spans="1:1" x14ac:dyDescent="0.25">
      <c r="A11" s="28" t="s">
        <v>211</v>
      </c>
    </row>
    <row r="12" ht="16" customHeight="1" spans="1:1" x14ac:dyDescent="0.25">
      <c r="A12" s="28" t="s">
        <v>212</v>
      </c>
    </row>
    <row r="13" ht="16" customHeight="1" spans="1:1" x14ac:dyDescent="0.25">
      <c r="A13" s="28" t="s">
        <v>213</v>
      </c>
    </row>
    <row r="14" ht="16" customHeight="1" spans="1:1" x14ac:dyDescent="0.25">
      <c r="A14" s="28" t="s">
        <v>214</v>
      </c>
    </row>
    <row r="15" ht="16" customHeight="1" spans="1:1" x14ac:dyDescent="0.25">
      <c r="A15" s="28" t="s">
        <v>215</v>
      </c>
    </row>
    <row r="16" ht="16" customHeight="1" spans="1:1" x14ac:dyDescent="0.25">
      <c r="A16" s="28" t="s">
        <v>216</v>
      </c>
    </row>
    <row r="17" ht="16" customHeight="1" spans="1:1" x14ac:dyDescent="0.25">
      <c r="A17" s="28" t="s">
        <v>217</v>
      </c>
    </row>
    <row r="19" ht="20" customHeight="1" spans="1:1" x14ac:dyDescent="0.25">
      <c r="A19" s="27" t="s">
        <v>218</v>
      </c>
    </row>
    <row r="20" ht="16" customHeight="1" spans="1:1" x14ac:dyDescent="0.25">
      <c r="A20" s="28" t="s">
        <v>219</v>
      </c>
    </row>
    <row r="21" ht="16" customHeight="1" spans="1:1" x14ac:dyDescent="0.25">
      <c r="A21" s="28" t="s">
        <v>220</v>
      </c>
    </row>
    <row r="22" ht="16" customHeight="1" spans="1:1" x14ac:dyDescent="0.25">
      <c r="A22" s="28" t="s">
        <v>221</v>
      </c>
    </row>
    <row r="24" ht="20" customHeight="1" spans="1:1" x14ac:dyDescent="0.25">
      <c r="A24" s="27" t="s">
        <v>222</v>
      </c>
    </row>
    <row r="25" ht="16" customHeight="1" spans="1:1" x14ac:dyDescent="0.25">
      <c r="A25" s="28" t="s">
        <v>223</v>
      </c>
    </row>
    <row r="26" ht="16" customHeight="1" spans="1:1" x14ac:dyDescent="0.25">
      <c r="A26" s="28" t="s">
        <v>224</v>
      </c>
    </row>
    <row r="27" ht="16" customHeight="1" spans="1:1" x14ac:dyDescent="0.25">
      <c r="A27" s="28" t="s">
        <v>225</v>
      </c>
    </row>
    <row r="28" ht="16" customHeight="1" spans="1:1" x14ac:dyDescent="0.25">
      <c r="A28" s="28" t="s">
        <v>226</v>
      </c>
    </row>
    <row r="29" ht="16" customHeight="1" spans="1:1" x14ac:dyDescent="0.25">
      <c r="A29" s="28" t="s">
        <v>227</v>
      </c>
    </row>
    <row r="31" ht="20" customHeight="1" spans="1:1" x14ac:dyDescent="0.25">
      <c r="A31" s="27" t="s">
        <v>228</v>
      </c>
    </row>
    <row r="32" ht="16" customHeight="1" spans="1:1" x14ac:dyDescent="0.25">
      <c r="A32" s="28" t="s">
        <v>229</v>
      </c>
    </row>
    <row r="33" ht="16" customHeight="1" spans="1:1" x14ac:dyDescent="0.25">
      <c r="A33" s="28" t="s">
        <v>230</v>
      </c>
    </row>
    <row r="35" ht="20" customHeight="1" spans="1:1" x14ac:dyDescent="0.25">
      <c r="A35" s="27" t="s">
        <v>231</v>
      </c>
    </row>
    <row r="36" ht="16" customHeight="1" spans="1:1" x14ac:dyDescent="0.25">
      <c r="A36" s="28" t="s">
        <v>232</v>
      </c>
    </row>
    <row r="37" ht="16" customHeight="1" spans="1:1" x14ac:dyDescent="0.25">
      <c r="A37" s="28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2026-05-16T18:24:14Z</dcterms:created>
  <dcterms:modified xsi:type="dcterms:W3CDTF">2026-05-16T18:24:14Z</dcterms:modified>
</cp:coreProperties>
</file>